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518972d4454b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lete Results" sheetId="1" r:id="Rafdc77b2d6794efe"/>
    <x:sheet xmlns:r="http://schemas.openxmlformats.org/officeDocument/2006/relationships" name="Key Comparison" sheetId="2" r:id="Ra35826379e6d4199"/>
    <x:sheet xmlns:r="http://schemas.openxmlformats.org/officeDocument/2006/relationships" name="Audit" sheetId="3" r:id="R72639903ac784d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0"/>
    <x:numFmt numFmtId="202" formatCode="0.0000"/>
  </x:numFmts>
  <x:fonts count="3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55E75"/>
      </x:patternFill>
    </x:fill>
    <x:fill>
      <x:patternFill patternType="solid">
        <x:fgColor rgb="FFECFDF5"/>
      </x:patternFill>
    </x:fill>
    <x:fill>
      <x:patternFill patternType="solid">
        <x:fgColor rgb="FFF8FAFC"/>
      </x:patternFill>
    </x:fill>
    <x:fill>
      <x:patternFill patternType="solid">
        <x:fgColor rgb="FFF0FDFA"/>
      </x:patternFill>
    </x:fill>
  </x:fills>
  <x:borders count="8">
    <x:border/>
    <x:border/>
    <x:border>
      <x:bottom style="thin">
        <x:color rgb="FFD9E2E7"/>
      </x:bottom>
    </x:border>
    <x:border>
      <x:top style="thin">
        <x:color rgb="FFD9E2E7"/>
      </x:top>
      <x:bottom style="thin">
        <x:color rgb="FFD9E2E7"/>
      </x:bottom>
    </x:border>
    <x:border>
      <x:top style="thin">
        <x:color rgb="FFD9E2E7"/>
      </x:top>
      <x:bottom style="thin">
        <x:color rgb="FF9CA3AF"/>
      </x:bottom>
    </x:border>
    <x:border>
      <x:bottom style="thin">
        <x:color rgb="FFD9E2E7"/>
      </x:bottom>
    </x:border>
    <x:border>
      <x:top style="thin">
        <x:color rgb="FFD9E2E7"/>
      </x:top>
      <x:bottom style="thin">
        <x:color rgb="FFD9E2E7"/>
      </x:bottom>
    </x:border>
    <x:border>
      <x:top style="thin">
        <x:color rgb="FFD9E2E7"/>
      </x:top>
      <x:bottom style="thin">
        <x:color rgb="FF9CA3AF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0" fontId="1" fillId="0" borderId="1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left"/>
    </x:xf>
    <x:xf numFmtId="0" fontId="1" fillId="0" borderId="1" xfId="0" applyNumberFormat="1" applyFont="1" applyFill="1" applyBorder="1" applyAlignment="1">
      <x:alignment horizontal="left"/>
    </x:xf>
    <x:xf numFmtId="0" fontId="2" fillId="2" borderId="2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horizontal="left"/>
    </x:xf>
    <x:xf numFmtId="200" fontId="1" fillId="0" borderId="3" xfId="0" applyNumberFormat="1" applyFont="1" applyFill="1" applyBorder="1" applyAlignment="1">
      <x:alignment horizontal="right"/>
    </x:xf>
    <x:xf numFmtId="0" fontId="1" fillId="0" borderId="4" xfId="0" applyNumberFormat="1" applyFont="1" applyFill="1" applyBorder="1" applyAlignment="1">
      <x:alignment horizontal="left"/>
    </x:xf>
    <x:xf numFmtId="200" fontId="1" fillId="0" borderId="4" xfId="0" applyNumberFormat="1" applyFont="1" applyFill="1" applyBorder="1" applyAlignment="1">
      <x:alignment horizontal="right"/>
    </x:xf>
    <x:xf numFmtId="0" fontId="2" fillId="2" borderId="5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left"/>
    </x:xf>
    <x:xf numFmtId="200" fontId="1" fillId="0" borderId="6" xfId="0" applyNumberFormat="1" applyFont="1" applyFill="1" applyBorder="1" applyAlignment="1">
      <x:alignment horizontal="right"/>
    </x:xf>
    <x:xf numFmtId="0" fontId="1" fillId="0" borderId="7" xfId="0" applyNumberFormat="1" applyFont="1" applyFill="1" applyBorder="1" applyAlignment="1">
      <x:alignment horizontal="left"/>
    </x:xf>
    <x:xf numFmtId="200" fontId="1" fillId="0" borderId="7" xfId="0" applyNumberFormat="1" applyFont="1" applyFill="1" applyBorder="1" applyAlignment="1">
      <x:alignment horizontal="right"/>
    </x:xf>
    <x:xf numFmtId="0" fontId="1" fillId="3" borderId="3" xfId="0" applyNumberFormat="1" applyFont="1" applyFill="1" applyBorder="1" applyAlignment="1">
      <x:alignment horizontal="left"/>
    </x:xf>
    <x:xf numFmtId="200" fontId="1" fillId="3" borderId="3" xfId="0" applyNumberFormat="1" applyFont="1" applyFill="1" applyBorder="1" applyAlignment="1">
      <x:alignment horizontal="right"/>
    </x:xf>
    <x:xf numFmtId="0" fontId="1" fillId="3" borderId="4" xfId="0" applyNumberFormat="1" applyFont="1" applyFill="1" applyBorder="1" applyAlignment="1">
      <x:alignment horizontal="left"/>
    </x:xf>
    <x:xf numFmtId="200" fontId="1" fillId="3" borderId="4" xfId="0" applyNumberFormat="1" applyFont="1" applyFill="1" applyBorder="1" applyAlignment="1">
      <x:alignment horizontal="right"/>
    </x:xf>
    <x:xf numFmtId="0" fontId="1" fillId="3" borderId="6" xfId="0" applyNumberFormat="1" applyFont="1" applyFill="1" applyBorder="1" applyAlignment="1">
      <x:alignment horizontal="left"/>
    </x:xf>
    <x:xf numFmtId="200" fontId="1" fillId="3" borderId="6" xfId="0" applyNumberFormat="1" applyFont="1" applyFill="1" applyBorder="1" applyAlignment="1">
      <x:alignment horizontal="right"/>
    </x:xf>
    <x:xf numFmtId="0" fontId="1" fillId="3" borderId="7" xfId="0" applyNumberFormat="1" applyFont="1" applyFill="1" applyBorder="1" applyAlignment="1">
      <x:alignment horizontal="left"/>
    </x:xf>
    <x:xf numFmtId="200" fontId="1" fillId="3" borderId="7" xfId="0" applyNumberFormat="1" applyFont="1" applyFill="1" applyBorder="1" applyAlignment="1">
      <x:alignment horizontal="right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/>
    <x:xf numFmtId="201" fontId="1" fillId="0" borderId="1" xfId="0" applyNumberFormat="1" applyFont="1" applyFill="1" applyBorder="1"/>
    <x:xf numFmtId="202" fontId="1" fillId="0" borderId="0" xfId="0" applyNumberFormat="1" applyFont="1" applyFill="1" applyBorder="1"/>
    <x:xf numFmtId="202" fontId="1" fillId="0" borderId="1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4" borderId="0" xfId="0" applyNumberFormat="1" applyFont="1" applyFill="1" applyBorder="1"/>
    <x:xf numFmtId="0" fontId="1" fillId="4" borderId="1" xfId="0" applyNumberFormat="1" applyFont="1" applyFill="1" applyBorder="1"/>
    <x:xf numFmtId="200" fontId="1" fillId="4" borderId="1" xfId="0" applyNumberFormat="1" applyFont="1" applyFill="1" applyBorder="1"/>
    <x:xf numFmtId="201" fontId="1" fillId="4" borderId="1" xfId="0" applyNumberFormat="1" applyFont="1" applyFill="1" applyBorder="1"/>
    <x:xf numFmtId="202" fontId="1" fillId="4" borderId="1" xfId="0" applyNumberFormat="1" applyFont="1" applyFill="1" applyBorder="1"/>
    <x:xf numFmtId="0" fontId="1" fillId="5" borderId="0" xfId="0" applyNumberFormat="1" applyFont="1" applyFill="1" applyBorder="1"/>
    <x:xf numFmtId="200" fontId="1" fillId="5" borderId="0" xfId="0" applyNumberFormat="1" applyFont="1" applyFill="1" applyBorder="1"/>
    <x:xf numFmtId="201" fontId="1" fillId="5" borderId="0" xfId="0" applyNumberFormat="1" applyFont="1" applyFill="1" applyBorder="1"/>
    <x:xf numFmtId="202" fontId="1" fillId="5" borderId="0" xfId="0" applyNumberFormat="1" applyFont="1" applyFill="1" applyBorder="1"/>
    <x:xf numFmtId="0" fontId="1" fillId="5" borderId="1" xfId="0" applyNumberFormat="1" applyFont="1" applyFill="1" applyBorder="1"/>
    <x:xf numFmtId="200" fontId="1" fillId="5" borderId="1" xfId="0" applyNumberFormat="1" applyFont="1" applyFill="1" applyBorder="1"/>
    <x:xf numFmtId="201" fontId="1" fillId="5" borderId="1" xfId="0" applyNumberFormat="1" applyFont="1" applyFill="1" applyBorder="1"/>
    <x:xf numFmtId="202" fontId="1" fillId="5" borderId="1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/>
    <x:xf numFmtId="200" fontId="1" fillId="4" borderId="3" xfId="0" applyNumberFormat="1" applyFont="1" applyFill="1" applyBorder="1"/>
    <x:xf numFmtId="201" fontId="1" fillId="4" borderId="3" xfId="0" applyNumberFormat="1" applyFont="1" applyFill="1" applyBorder="1"/>
    <x:xf numFmtId="202" fontId="1" fillId="4" borderId="3" xfId="0" applyNumberFormat="1" applyFont="1" applyFill="1" applyBorder="1"/>
    <x:xf numFmtId="0" fontId="1" fillId="5" borderId="3" xfId="0" applyNumberFormat="1" applyFont="1" applyFill="1" applyBorder="1"/>
    <x:xf numFmtId="200" fontId="1" fillId="5" borderId="3" xfId="0" applyNumberFormat="1" applyFont="1" applyFill="1" applyBorder="1"/>
    <x:xf numFmtId="201" fontId="1" fillId="5" borderId="3" xfId="0" applyNumberFormat="1" applyFont="1" applyFill="1" applyBorder="1"/>
    <x:xf numFmtId="202" fontId="1" fillId="5" borderId="3" xfId="0" applyNumberFormat="1" applyFont="1" applyFill="1" applyBorder="1"/>
    <x:xf numFmtId="0" fontId="1" fillId="5" borderId="4" xfId="0" applyNumberFormat="1" applyFont="1" applyFill="1" applyBorder="1"/>
    <x:xf numFmtId="200" fontId="1" fillId="5" borderId="4" xfId="0" applyNumberFormat="1" applyFont="1" applyFill="1" applyBorder="1"/>
    <x:xf numFmtId="201" fontId="1" fillId="5" borderId="4" xfId="0" applyNumberFormat="1" applyFont="1" applyFill="1" applyBorder="1"/>
    <x:xf numFmtId="202" fontId="1" fillId="5" borderId="4" xfId="0" applyNumberFormat="1" applyFont="1" applyFill="1" applyBorder="1"/>
    <x:xf numFmtId="0" fontId="2" fillId="2" borderId="5" xfId="0" applyNumberFormat="1" applyFont="1" applyFill="1" applyBorder="1" applyAlignment="1">
      <x:alignment horizontal="center" vertical="center" wrapText="1"/>
    </x:xf>
    <x:xf numFmtId="0" fontId="1" fillId="4" borderId="6" xfId="0" applyNumberFormat="1" applyFont="1" applyFill="1" applyBorder="1"/>
    <x:xf numFmtId="200" fontId="1" fillId="4" borderId="6" xfId="0" applyNumberFormat="1" applyFont="1" applyFill="1" applyBorder="1"/>
    <x:xf numFmtId="201" fontId="1" fillId="4" borderId="6" xfId="0" applyNumberFormat="1" applyFont="1" applyFill="1" applyBorder="1"/>
    <x:xf numFmtId="202" fontId="1" fillId="4" borderId="6" xfId="0" applyNumberFormat="1" applyFont="1" applyFill="1" applyBorder="1"/>
    <x:xf numFmtId="0" fontId="1" fillId="5" borderId="6" xfId="0" applyNumberFormat="1" applyFont="1" applyFill="1" applyBorder="1"/>
    <x:xf numFmtId="200" fontId="1" fillId="5" borderId="6" xfId="0" applyNumberFormat="1" applyFont="1" applyFill="1" applyBorder="1"/>
    <x:xf numFmtId="201" fontId="1" fillId="5" borderId="6" xfId="0" applyNumberFormat="1" applyFont="1" applyFill="1" applyBorder="1"/>
    <x:xf numFmtId="202" fontId="1" fillId="5" borderId="6" xfId="0" applyNumberFormat="1" applyFont="1" applyFill="1" applyBorder="1"/>
    <x:xf numFmtId="0" fontId="1" fillId="5" borderId="7" xfId="0" applyNumberFormat="1" applyFont="1" applyFill="1" applyBorder="1"/>
    <x:xf numFmtId="200" fontId="1" fillId="5" borderId="7" xfId="0" applyNumberFormat="1" applyFont="1" applyFill="1" applyBorder="1"/>
    <x:xf numFmtId="201" fontId="1" fillId="5" borderId="7" xfId="0" applyNumberFormat="1" applyFont="1" applyFill="1" applyBorder="1"/>
    <x:xf numFmtId="202" fontId="1" fillId="5" borderId="7" xfId="0" applyNumberFormat="1" applyFont="1" applyFill="1" applyBorder="1"/>
    <x:xf numFmtId="0" fontId="2" fillId="2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2" fillId="2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6e9bdfcd6f4a0b" /><Relationship Type="http://schemas.openxmlformats.org/officeDocument/2006/relationships/theme" Target="/xl/theme/theme1.xml" Id="Re1e553e644ed48b1" /><Relationship Type="http://schemas.openxmlformats.org/officeDocument/2006/relationships/sharedStrings" Target="/xl/sharedStrings.xml" Id="R444a64be9ad04193" /><Relationship Type="http://schemas.openxmlformats.org/officeDocument/2006/relationships/worksheet" Target="/xl/worksheets/sheet1.xml" Id="Rafdc77b2d6794efe" /><Relationship Type="http://schemas.openxmlformats.org/officeDocument/2006/relationships/worksheet" Target="/xl/worksheets/sheet2.xml" Id="Ra35826379e6d4199" /><Relationship Type="http://schemas.openxmlformats.org/officeDocument/2006/relationships/worksheet" Target="/xl/worksheets/sheet3.xml" Id="R72639903ac784dbc" /></Relationships>
</file>

<file path=xl/tables/table1.xml><?xml version="1.0" encoding="utf-8"?>
<x:table xmlns:x="http://schemas.openxmlformats.org/spreadsheetml/2006/main" id="1" name="CompleteResultsTable" displayName="CompleteResultsTable" ref="A1:I23" headerRowCount="1" totalsRowCount="0" totalsRowShown="0">
  <x:tableColumns count="9">
    <x:tableColumn id="1" name="﻿Method"/>
    <x:tableColumn id="2" name="Dataset"/>
    <x:tableColumn id="3" name="Protocol"/>
    <x:tableColumn id="4" name="L1"/>
    <x:tableColumn id="5" name="L2"/>
    <x:tableColumn id="6" name="L3"/>
    <x:tableColumn id="7" name="L4"/>
    <x:tableColumn id="8" name="MacroF1"/>
    <x:tableColumn id="9" name="MC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eyComparisonTable" displayName="KeyComparisonTable" ref="A1:L7" headerRowCount="1" totalsRowCount="0" totalsRowShown="0">
  <x:tableColumns count="12">
    <x:tableColumn id="1" name="Dataset"/>
    <x:tableColumn id="2" name="Method"/>
    <x:tableColumn id="3" name="Protocol"/>
    <x:tableColumn id="4" name="L1"/>
    <x:tableColumn id="5" name="L2"/>
    <x:tableColumn id="6" name="L3"/>
    <x:tableColumn id="7" name="L4"/>
    <x:tableColumn id="8" name="Macro-F1"/>
    <x:tableColumn id="9" name="MCC"/>
    <x:tableColumn id="10" name="GaCA - method L4 (pp)"/>
    <x:tableColumn id="11" name="McNemar p vs GaCA"/>
    <x:tableColumn id="12" name="Bootstrap 95% CI (pp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0638424443489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79affae0bfc44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55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22" customHeight="1">
      <x:c r="A1" s="18" t="str">
        <x:v>﻿Method</x:v>
      </x:c>
      <x:c r="B1" s="18" t="str">
        <x:v>Dataset</x:v>
      </x:c>
      <x:c r="C1" s="18" t="str">
        <x:v>Protocol</x:v>
      </x:c>
      <x:c r="D1" s="18" t="str">
        <x:v>L1</x:v>
      </x:c>
      <x:c r="E1" s="18" t="str">
        <x:v>L2</x:v>
      </x:c>
      <x:c r="F1" s="18" t="str">
        <x:v>L3</x:v>
      </x:c>
      <x:c r="G1" s="18" t="str">
        <x:v>L4</x:v>
      </x:c>
      <x:c r="H1" s="18" t="str">
        <x:v>MacroF1</x:v>
      </x:c>
      <x:c r="I1" s="18" t="str">
        <x:v>MCC</x:v>
      </x:c>
    </x:row>
    <x:row r="2" ht="22" customHeight="1">
      <x:c r="A2" s="19" t="str">
        <x:v>gaca</x:v>
      </x:c>
      <x:c r="B2" s="19" t="str">
        <x:v>lt30</x:v>
      </x:c>
      <x:c r="C2" s="19" t="str">
        <x:v>tune_12303_validate_1368_refit_13671</x:v>
      </x:c>
      <x:c r="D2" s="20" t="str">
        <x:v>0.9012345679012346</x:v>
      </x:c>
      <x:c r="E2" s="20" t="str">
        <x:v>0.8436213991769548</x:v>
      </x:c>
      <x:c r="F2" s="20" t="str">
        <x:v>0.8189300411522634</x:v>
      </x:c>
      <x:c r="G2" s="20" t="str">
        <x:v>0.7325102880658436</x:v>
      </x:c>
      <x:c r="H2" s="20" t="str">
        <x:v>0.7172050729839674</x:v>
      </x:c>
      <x:c r="I2" s="20" t="str">
        <x:v>0.7321635438662001</x:v>
      </x:c>
    </x:row>
    <x:row r="3" ht="22" customHeight="1">
      <x:c r="A3" s="19" t="str">
        <x:v>gaca</x:v>
      </x:c>
      <x:c r="B3" s="19" t="str">
        <x:v>30_50</x:v>
      </x:c>
      <x:c r="C3" s="19" t="str">
        <x:v>tune_12303_validate_1368_refit_13671</x:v>
      </x:c>
      <x:c r="D3" s="20" t="str">
        <x:v>0.9622641509433962</x:v>
      </x:c>
      <x:c r="E3" s="20" t="str">
        <x:v>0.9287211740041929</x:v>
      </x:c>
      <x:c r="F3" s="20" t="str">
        <x:v>0.89937106918239</x:v>
      </x:c>
      <x:c r="G3" s="20" t="str">
        <x:v>0.8490566037735849</x:v>
      </x:c>
      <x:c r="H3" s="20" t="str">
        <x:v>0.8334046193327631</x:v>
      </x:c>
      <x:c r="I3" s="20" t="str">
        <x:v>0.8489297507775689</x:v>
      </x:c>
    </x:row>
    <x:row r="4" ht="22" customHeight="1">
      <x:c r="A4" s="19" t="str">
        <x:v>seq_only</x:v>
      </x:c>
      <x:c r="B4" s="19" t="str">
        <x:v>lt30</x:v>
      </x:c>
      <x:c r="C4" s="19" t="str">
        <x:v>tune_12303_validate_1368_refit_13671</x:v>
      </x:c>
      <x:c r="D4" s="20" t="str">
        <x:v>0.8765432098765432</x:v>
      </x:c>
      <x:c r="E4" s="20" t="str">
        <x:v>0.8353909465020576</x:v>
      </x:c>
      <x:c r="F4" s="20" t="str">
        <x:v>0.8189300411522634</x:v>
      </x:c>
      <x:c r="G4" s="20" t="str">
        <x:v>0.7119341563786008</x:v>
      </x:c>
      <x:c r="H4" s="20" t="str">
        <x:v>0.6979899497487437</x:v>
      </x:c>
      <x:c r="I4" s="20" t="str">
        <x:v>0.7115214384067482</x:v>
      </x:c>
    </x:row>
    <x:row r="5" ht="22" customHeight="1">
      <x:c r="A5" s="19" t="str">
        <x:v>seq_only</x:v>
      </x:c>
      <x:c r="B5" s="19" t="str">
        <x:v>30_50</x:v>
      </x:c>
      <x:c r="C5" s="19" t="str">
        <x:v>tune_12303_validate_1368_refit_13671</x:v>
      </x:c>
      <x:c r="D5" s="20" t="str">
        <x:v>0.9622641509433962</x:v>
      </x:c>
      <x:c r="E5" s="20" t="str">
        <x:v>0.9308176100628931</x:v>
      </x:c>
      <x:c r="F5" s="20" t="str">
        <x:v>0.9035639412997903</x:v>
      </x:c>
      <x:c r="G5" s="20" t="str">
        <x:v>0.8406708595387841</x:v>
      </x:c>
      <x:c r="H5" s="20" t="str">
        <x:v>0.8270031365839748</x:v>
      </x:c>
      <x:c r="I5" s="20" t="str">
        <x:v>0.8405451225223881</x:v>
      </x:c>
    </x:row>
    <x:row r="6" ht="22" customHeight="1">
      <x:c r="A6" s="19" t="str">
        <x:v>str_only</x:v>
      </x:c>
      <x:c r="B6" s="19" t="str">
        <x:v>lt30</x:v>
      </x:c>
      <x:c r="C6" s="19" t="str">
        <x:v>tune_12303_validate_1368_refit_13671</x:v>
      </x:c>
      <x:c r="D6" s="20" t="str">
        <x:v>0.8683127572016461</x:v>
      </x:c>
      <x:c r="E6" s="20" t="str">
        <x:v>0.8106995884773662</x:v>
      </x:c>
      <x:c r="F6" s="20" t="str">
        <x:v>0.7695473251028807</x:v>
      </x:c>
      <x:c r="G6" s="20" t="str">
        <x:v>0.6584362139917695</x:v>
      </x:c>
      <x:c r="H6" s="20" t="str">
        <x:v>0.632735104091888</x:v>
      </x:c>
      <x:c r="I6" s="20" t="str">
        <x:v>0.6579768006620568</x:v>
      </x:c>
    </x:row>
    <x:row r="7" ht="22" customHeight="1">
      <x:c r="A7" s="19" t="str">
        <x:v>str_only</x:v>
      </x:c>
      <x:c r="B7" s="19" t="str">
        <x:v>30_50</x:v>
      </x:c>
      <x:c r="C7" s="19" t="str">
        <x:v>tune_12303_validate_1368_refit_13671</x:v>
      </x:c>
      <x:c r="D7" s="20" t="str">
        <x:v>0.9350104821802935</x:v>
      </x:c>
      <x:c r="E7" s="20" t="str">
        <x:v>0.8951781970649895</x:v>
      </x:c>
      <x:c r="F7" s="20" t="str">
        <x:v>0.870020964360587</x:v>
      </x:c>
      <x:c r="G7" s="20" t="str">
        <x:v>0.7945492662473794</x:v>
      </x:c>
      <x:c r="H7" s="20" t="str">
        <x:v>0.7632591958939264</x:v>
      </x:c>
      <x:c r="I7" s="20" t="str">
        <x:v>0.7943300606010536</x:v>
      </x:c>
    </x:row>
    <x:row r="8" ht="22" customHeight="1">
      <x:c r="A8" s="19" t="str">
        <x:v>mean_vector_gate</x:v>
      </x:c>
      <x:c r="B8" s="19" t="str">
        <x:v>lt30</x:v>
      </x:c>
      <x:c r="C8" s="19" t="str">
        <x:v>tune_12303_validate_1368_refit_13671</x:v>
      </x:c>
      <x:c r="D8" s="20" t="str">
        <x:v>0.8888888888888888</x:v>
      </x:c>
      <x:c r="E8" s="20" t="str">
        <x:v>0.8148148148148148</x:v>
      </x:c>
      <x:c r="F8" s="20" t="str">
        <x:v>0.7860082304526749</x:v>
      </x:c>
      <x:c r="G8" s="20" t="str">
        <x:v>0.6954732510288066</x:v>
      </x:c>
      <x:c r="H8" s="20" t="str">
        <x:v>0.6819095477386934</x:v>
      </x:c>
      <x:c r="I8" s="20" t="str">
        <x:v>0.6949730021972469</x:v>
      </x:c>
    </x:row>
    <x:row r="9" ht="22" customHeight="1">
      <x:c r="A9" s="19" t="str">
        <x:v>mean_vector_gate</x:v>
      </x:c>
      <x:c r="B9" s="19" t="str">
        <x:v>30_50</x:v>
      </x:c>
      <x:c r="C9" s="19" t="str">
        <x:v>tune_12303_validate_1368_refit_13671</x:v>
      </x:c>
      <x:c r="D9" s="20" t="str">
        <x:v>0.9580712788259959</x:v>
      </x:c>
      <x:c r="E9" s="20" t="str">
        <x:v>0.9140461215932913</x:v>
      </x:c>
      <x:c r="F9" s="20" t="str">
        <x:v>0.8846960167714885</x:v>
      </x:c>
      <x:c r="G9" s="20" t="str">
        <x:v>0.8238993710691824</x:v>
      </x:c>
      <x:c r="H9" s="20" t="str">
        <x:v>0.8120045623039636</x:v>
      </x:c>
      <x:c r="I9" s="20" t="str">
        <x:v>0.8237780133466288</x:v>
      </x:c>
    </x:row>
    <x:row r="10" ht="22" customHeight="1">
      <x:c r="A10" s="19" t="str">
        <x:v>attention_concat</x:v>
      </x:c>
      <x:c r="B10" s="19" t="str">
        <x:v>lt30</x:v>
      </x:c>
      <x:c r="C10" s="19" t="str">
        <x:v>tune_12303_validate_1368_refit_13671</x:v>
      </x:c>
      <x:c r="D10" s="20" t="str">
        <x:v>0.8930041152263375</x:v>
      </x:c>
      <x:c r="E10" s="20" t="str">
        <x:v>0.8353909465020576</x:v>
      </x:c>
      <x:c r="F10" s="20" t="str">
        <x:v>0.8148148148148148</x:v>
      </x:c>
      <x:c r="G10" s="20" t="str">
        <x:v>0.7160493827160493</x:v>
      </x:c>
      <x:c r="H10" s="20" t="str">
        <x:v>0.694496290978703</x:v>
      </x:c>
      <x:c r="I10" s="20" t="str">
        <x:v>0.7156293179317554</x:v>
      </x:c>
    </x:row>
    <x:row r="11" ht="22" customHeight="1">
      <x:c r="A11" s="19" t="str">
        <x:v>attention_concat</x:v>
      </x:c>
      <x:c r="B11" s="19" t="str">
        <x:v>30_50</x:v>
      </x:c>
      <x:c r="C11" s="19" t="str">
        <x:v>tune_12303_validate_1368_refit_13671</x:v>
      </x:c>
      <x:c r="D11" s="20" t="str">
        <x:v>0.9580712788259959</x:v>
      </x:c>
      <x:c r="E11" s="20" t="str">
        <x:v>0.9287211740041929</x:v>
      </x:c>
      <x:c r="F11" s="20" t="str">
        <x:v>0.8972746331236897</x:v>
      </x:c>
      <x:c r="G11" s="20" t="str">
        <x:v>0.8469601677148847</x:v>
      </x:c>
      <x:c r="H11" s="20" t="str">
        <x:v>0.834630738522954</x:v>
      </x:c>
      <x:c r="I11" s="20" t="str">
        <x:v>0.846864454509892</x:v>
      </x:c>
    </x:row>
    <x:row r="12" ht="22" customHeight="1">
      <x:c r="A12" s="19" t="str">
        <x:v>mean_concat</x:v>
      </x:c>
      <x:c r="B12" s="19" t="str">
        <x:v>lt30</x:v>
      </x:c>
      <x:c r="C12" s="19" t="str">
        <x:v>tune_12303_validate_1368_refit_13671</x:v>
      </x:c>
      <x:c r="D12" s="20" t="str">
        <x:v>0.897119341563786</x:v>
      </x:c>
      <x:c r="E12" s="20" t="str">
        <x:v>0.8395061728395061</x:v>
      </x:c>
      <x:c r="F12" s="20" t="str">
        <x:v>0.8065843621399177</x:v>
      </x:c>
      <x:c r="G12" s="20" t="str">
        <x:v>0.6872427983539094</x:v>
      </x:c>
      <x:c r="H12" s="20" t="str">
        <x:v>0.6715242881072027</x:v>
      </x:c>
      <x:c r="I12" s="20" t="str">
        <x:v>0.6867685397633337</x:v>
      </x:c>
    </x:row>
    <x:row r="13" ht="22" customHeight="1">
      <x:c r="A13" s="19" t="str">
        <x:v>mean_concat</x:v>
      </x:c>
      <x:c r="B13" s="19" t="str">
        <x:v>30_50</x:v>
      </x:c>
      <x:c r="C13" s="19" t="str">
        <x:v>tune_12303_validate_1368_refit_13671</x:v>
      </x:c>
      <x:c r="D13" s="20" t="str">
        <x:v>0.960167714884696</x:v>
      </x:c>
      <x:c r="E13" s="20" t="str">
        <x:v>0.9245283018867925</x:v>
      </x:c>
      <x:c r="F13" s="20" t="str">
        <x:v>0.8972746331236897</x:v>
      </x:c>
      <x:c r="G13" s="20" t="str">
        <x:v>0.8364779874213837</x:v>
      </x:c>
      <x:c r="H13" s="20" t="str">
        <x:v>0.8193826632449386</x:v>
      </x:c>
      <x:c r="I13" s="20" t="str">
        <x:v>0.8363413388968886</x:v>
      </x:c>
    </x:row>
    <x:row r="14" ht="22" customHeight="1">
      <x:c r="A14" s="19" t="str">
        <x:v>knn</x:v>
      </x:c>
      <x:c r="B14" s="19" t="str">
        <x:v>lt30</x:v>
      </x:c>
      <x:c r="C14" s="19" t="str">
        <x:v>fit_all_13671_fixed_hyperparameters</x:v>
      </x:c>
      <x:c r="D14" s="20" t="str">
        <x:v>0.6419753086419753</x:v>
      </x:c>
      <x:c r="E14" s="20" t="str">
        <x:v>0.5473251028806584</x:v>
      </x:c>
      <x:c r="F14" s="20" t="str">
        <x:v>0.49382716049382713</x:v>
      </x:c>
      <x:c r="G14" s="20" t="str">
        <x:v>0.3868312757201646</x:v>
      </x:c>
      <x:c r="H14" s="20" t="str">
        <x:v>0.3827470686767169</x:v>
      </x:c>
      <x:c r="I14" s="20" t="str">
        <x:v>0.3862819668538707</x:v>
      </x:c>
    </x:row>
    <x:row r="15" ht="22" customHeight="1">
      <x:c r="A15" s="19" t="str">
        <x:v>knn</x:v>
      </x:c>
      <x:c r="B15" s="19" t="str">
        <x:v>30_50</x:v>
      </x:c>
      <x:c r="C15" s="19" t="str">
        <x:v>fit_all_13671_fixed_hyperparameters</x:v>
      </x:c>
      <x:c r="D15" s="20" t="str">
        <x:v>0.8280922431865828</x:v>
      </x:c>
      <x:c r="E15" s="20" t="str">
        <x:v>0.7526205450733753</x:v>
      </x:c>
      <x:c r="F15" s="20" t="str">
        <x:v>0.7148846960167715</x:v>
      </x:c>
      <x:c r="G15" s="20" t="str">
        <x:v>0.6352201257861635</x:v>
      </x:c>
      <x:c r="H15" s="20" t="str">
        <x:v>0.6259338465925292</x:v>
      </x:c>
      <x:c r="I15" s="20" t="str">
        <x:v>0.6348656926546413</x:v>
      </x:c>
    </x:row>
    <x:row r="16" ht="22" customHeight="1">
      <x:c r="A16" s="19" t="str">
        <x:v>svm</x:v>
      </x:c>
      <x:c r="B16" s="19" t="str">
        <x:v>lt30</x:v>
      </x:c>
      <x:c r="C16" s="19" t="str">
        <x:v>fit_all_13671_fixed_hyperparameters</x:v>
      </x:c>
      <x:c r="D16" s="20" t="str">
        <x:v>0.7489711934156379</x:v>
      </x:c>
      <x:c r="E16" s="20" t="str">
        <x:v>0.6337448559670782</x:v>
      </x:c>
      <x:c r="F16" s="20" t="str">
        <x:v>0.5802469135802469</x:v>
      </x:c>
      <x:c r="G16" s="20" t="str">
        <x:v>0.448559670781893</x:v>
      </x:c>
      <x:c r="H16" s="20" t="str">
        <x:v>0.3920315865039483</x:v>
      </x:c>
      <x:c r="I16" s="20" t="str">
        <x:v>0.44778747463393626</x:v>
      </x:c>
    </x:row>
    <x:row r="17" ht="22" customHeight="1">
      <x:c r="A17" s="19" t="str">
        <x:v>svm</x:v>
      </x:c>
      <x:c r="B17" s="19" t="str">
        <x:v>30_50</x:v>
      </x:c>
      <x:c r="C17" s="19" t="str">
        <x:v>fit_all_13671_fixed_hyperparameters</x:v>
      </x:c>
      <x:c r="D17" s="20" t="str">
        <x:v>0.8280922431865828</x:v>
      </x:c>
      <x:c r="E17" s="20" t="str">
        <x:v>0.7442348008385744</x:v>
      </x:c>
      <x:c r="F17" s="20" t="str">
        <x:v>0.7148846960167715</x:v>
      </x:c>
      <x:c r="G17" s="20" t="str">
        <x:v>0.6289308176100629</x:v>
      </x:c>
      <x:c r="H17" s="20" t="str">
        <x:v>0.5595808383233533</x:v>
      </x:c>
      <x:c r="I17" s="20" t="str">
        <x:v>0.6285775854289932</x:v>
      </x:c>
    </x:row>
    <x:row r="18" ht="22" customHeight="1">
      <x:c r="A18" s="19" t="str">
        <x:v>random_forest</x:v>
      </x:c>
      <x:c r="B18" s="19" t="str">
        <x:v>lt30</x:v>
      </x:c>
      <x:c r="C18" s="19" t="str">
        <x:v>fit_all_13671_fixed_hyperparameters</x:v>
      </x:c>
      <x:c r="D18" s="20" t="str">
        <x:v>0.4897119341563786</x:v>
      </x:c>
      <x:c r="E18" s="20" t="str">
        <x:v>0.4279835390946502</x:v>
      </x:c>
      <x:c r="F18" s="20" t="str">
        <x:v>0.37448559670781895</x:v>
      </x:c>
      <x:c r="G18" s="20" t="str">
        <x:v>0.3045267489711934</x:v>
      </x:c>
      <x:c r="H18" s="20" t="str">
        <x:v>0.29050011964584826</x:v>
      </x:c>
      <x:c r="I18" s="20" t="str">
        <x:v>0.30360765405537926</x:v>
      </x:c>
    </x:row>
    <x:row r="19" ht="22" customHeight="1">
      <x:c r="A19" s="19" t="str">
        <x:v>random_forest</x:v>
      </x:c>
      <x:c r="B19" s="19" t="str">
        <x:v>30_50</x:v>
      </x:c>
      <x:c r="C19" s="19" t="str">
        <x:v>fit_all_13671_fixed_hyperparameters</x:v>
      </x:c>
      <x:c r="D19" s="20" t="str">
        <x:v>0.8071278825995807</x:v>
      </x:c>
      <x:c r="E19" s="20" t="str">
        <x:v>0.7337526205450734</x:v>
      </x:c>
      <x:c r="F19" s="20" t="str">
        <x:v>0.7044025157232704</x:v>
      </x:c>
      <x:c r="G19" s="20" t="str">
        <x:v>0.6561844863731656</x:v>
      </x:c>
      <x:c r="H19" s="20" t="str">
        <x:v>0.6372540633019675</x:v>
      </x:c>
      <x:c r="I19" s="20" t="str">
        <x:v>0.655870053047836</x:v>
      </x:c>
    </x:row>
    <x:row r="20" ht="22" customHeight="1">
      <x:c r="A20" s="28" t="str">
        <x:v>cross_attention</x:v>
      </x:c>
      <x:c r="B20" s="28" t="str">
        <x:v>lt30</x:v>
      </x:c>
      <x:c r="C20" s="28" t="str">
        <x:v>server_tune_12303_validate_1368_refit_13671_dim512_heads4</x:v>
      </x:c>
      <x:c r="D20" s="29" t="n">
        <x:v>0.8847736625514403</x:v>
      </x:c>
      <x:c r="E20" s="29" t="n">
        <x:v>0.8271604938271605</x:v>
      </x:c>
      <x:c r="F20" s="29" t="n">
        <x:v>0.8024691358024691</x:v>
      </x:c>
      <x:c r="G20" s="29" t="n">
        <x:v>0.7119341563786008</x:v>
      </x:c>
      <x:c r="H20" s="29" t="n">
        <x:v>0.6892318736539843</x:v>
      </x:c>
      <x:c r="I20" s="29" t="n">
        <x:v>0.7114601612644208</x:v>
      </x:c>
    </x:row>
    <x:row r="21" ht="22" customHeight="1">
      <x:c r="A21" s="28" t="str">
        <x:v>cross_attention</x:v>
      </x:c>
      <x:c r="B21" s="28" t="str">
        <x:v>30_50</x:v>
      </x:c>
      <x:c r="C21" s="28" t="str">
        <x:v>server_tune_12303_validate_1368_refit_13671_dim512_heads4</x:v>
      </x:c>
      <x:c r="D21" s="29" t="n">
        <x:v>0.960167714884696</x:v>
      </x:c>
      <x:c r="E21" s="29" t="n">
        <x:v>0.9203354297693921</x:v>
      </x:c>
      <x:c r="F21" s="29" t="n">
        <x:v>0.8930817610062893</x:v>
      </x:c>
      <x:c r="G21" s="29" t="n">
        <x:v>0.8343815513626834</x:v>
      </x:c>
      <x:c r="H21" s="29" t="n">
        <x:v>0.8127174222982605</x:v>
      </x:c>
      <x:c r="I21" s="29" t="n">
        <x:v>0.8342193149350596</x:v>
      </x:c>
    </x:row>
    <x:row r="22" ht="22" customHeight="1">
      <x:c r="A22" s="28" t="str">
        <x:v>lightgbm</x:v>
      </x:c>
      <x:c r="B22" s="28" t="str">
        <x:v>lt30</x:v>
      </x:c>
      <x:c r="C22" s="28" t="str">
        <x:v>server_tune_12303_validate_1368_refit_13671_l2norm_best349</x:v>
      </x:c>
      <x:c r="D22" s="29" t="n">
        <x:v>0.42386831275720166</x:v>
      </x:c>
      <x:c r="E22" s="29" t="n">
        <x:v>0.25925925925925924</x:v>
      </x:c>
      <x:c r="F22" s="29" t="n">
        <x:v>0.21810699588477367</x:v>
      </x:c>
      <x:c r="G22" s="29" t="n">
        <x:v>0.16049382716049382</x:v>
      </x:c>
      <x:c r="H22" s="29" t="n">
        <x:v>0.157286432160804</x:v>
      </x:c>
      <x:c r="I22" s="29" t="n">
        <x:v>0.1597915377653546</x:v>
      </x:c>
    </x:row>
    <x:row r="23" ht="22" customHeight="1">
      <x:c r="A23" s="30" t="str">
        <x:v>lightgbm</x:v>
      </x:c>
      <x:c r="B23" s="30" t="str">
        <x:v>30_50</x:v>
      </x:c>
      <x:c r="C23" s="30" t="str">
        <x:v>server_tune_12303_validate_1368_refit_13671_l2norm_best349</x:v>
      </x:c>
      <x:c r="D23" s="31" t="n">
        <x:v>0.6561844863731656</x:v>
      </x:c>
      <x:c r="E23" s="31" t="n">
        <x:v>0.5262054507337526</x:v>
      </x:c>
      <x:c r="F23" s="31" t="n">
        <x:v>0.49266247379454925</x:v>
      </x:c>
      <x:c r="G23" s="31" t="n">
        <x:v>0.44863731656184486</x:v>
      </x:c>
      <x:c r="H23" s="31" t="n">
        <x:v>0.4194040490447676</x:v>
      </x:c>
      <x:c r="I23" s="31" t="n">
        <x:v>0.4481730315412376</x:v>
      </x:c>
    </x:row>
  </x:sheetData>
  <x:pageMargins left="0.7" right="0.7" top="0.75" bottom="0.75" header="0.3" footer="0.3"/>
  <x:tableParts count="1">
    <x:tablePart xmlns:r="http://schemas.openxmlformats.org/officeDocument/2006/relationships" r:id="R850638424443489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1" hidden="0" customWidth="1"/>
    <x:col min="3" max="3" width="39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23" hidden="0" customWidth="1"/>
    <x:col min="11" max="11" width="20" hidden="0" customWidth="1"/>
    <x:col min="12" max="12" width="22" hidden="0" customWidth="1"/>
  </x:cols>
  <x:sheetData>
    <x:row r="1" ht="24" customHeight="1">
      <x:c r="A1" s="64" t="str">
        <x:v>Dataset</x:v>
      </x:c>
      <x:c r="B1" s="64" t="str">
        <x:v>Method</x:v>
      </x:c>
      <x:c r="C1" s="64" t="str">
        <x:v>Protocol</x:v>
      </x:c>
      <x:c r="D1" s="64" t="str">
        <x:v>L1</x:v>
      </x:c>
      <x:c r="E1" s="64" t="str">
        <x:v>L2</x:v>
      </x:c>
      <x:c r="F1" s="64" t="str">
        <x:v>L3</x:v>
      </x:c>
      <x:c r="G1" s="64" t="str">
        <x:v>L4</x:v>
      </x:c>
      <x:c r="H1" s="64" t="str">
        <x:v>Macro-F1</x:v>
      </x:c>
      <x:c r="I1" s="64" t="str">
        <x:v>MCC</x:v>
      </x:c>
      <x:c r="J1" s="64" t="str">
        <x:v>GaCA - method L4 (pp)</x:v>
      </x:c>
      <x:c r="K1" s="64" t="str">
        <x:v>McNemar p vs GaCA</x:v>
      </x:c>
      <x:c r="L1" s="64" t="str">
        <x:v>Bootstrap 95% CI (pp)</x:v>
      </x:c>
    </x:row>
    <x:row r="2" ht="24" customHeight="1">
      <x:c r="A2" s="65" t="str">
        <x:v>lt30</x:v>
      </x:c>
      <x:c r="B2" s="65" t="str">
        <x:v>GaCA</x:v>
      </x:c>
      <x:c r="C2" s="65" t="str">
        <x:v>tune_12303_validate_1368_refit_13671</x:v>
      </x:c>
      <x:c r="D2" s="66" t="n">
        <x:v>0.9012345679012346</x:v>
      </x:c>
      <x:c r="E2" s="66" t="n">
        <x:v>0.8436213991769548</x:v>
      </x:c>
      <x:c r="F2" s="66" t="n">
        <x:v>0.8189300411522634</x:v>
      </x:c>
      <x:c r="G2" s="66" t="n">
        <x:v>0.7325102880658436</x:v>
      </x:c>
      <x:c r="H2" s="66" t="n">
        <x:v>0.7172050729839674</x:v>
      </x:c>
      <x:c r="I2" s="66" t="n">
        <x:v>0.7321635438662001</x:v>
      </x:c>
      <x:c r="J2" s="67" t="n">
        <x:f>0</x:f>
        <x:v>0</x:v>
      </x:c>
      <x:c r="K2" s="68"/>
      <x:c r="L2" s="65" t="str">
        <x:v>Reference</x:v>
      </x:c>
    </x:row>
    <x:row r="3" ht="24" customHeight="1">
      <x:c r="A3" s="65" t="str">
        <x:v>lt30</x:v>
      </x:c>
      <x:c r="B3" s="65" t="str">
        <x:v>Cross-attention (512d, 4 heads)</x:v>
      </x:c>
      <x:c r="C3" s="65" t="str">
        <x:v>server formal</x:v>
      </x:c>
      <x:c r="D3" s="66" t="n">
        <x:v>0.8847736625514403</x:v>
      </x:c>
      <x:c r="E3" s="66" t="n">
        <x:v>0.8271604938271605</x:v>
      </x:c>
      <x:c r="F3" s="66" t="n">
        <x:v>0.8024691358024691</x:v>
      </x:c>
      <x:c r="G3" s="66" t="n">
        <x:v>0.7119341563786008</x:v>
      </x:c>
      <x:c r="H3" s="66" t="n">
        <x:v>0.6892318736539843</x:v>
      </x:c>
      <x:c r="I3" s="66" t="n">
        <x:v>0.7114601612644208</x:v>
      </x:c>
      <x:c r="J3" s="67" t="n">
        <x:f>($G$2-G3)*100</x:f>
        <x:v>2.0576131687242816</x:v>
      </x:c>
      <x:c r="K3" s="68" t="n">
        <x:v>0.332305908203125</x:v>
      </x:c>
      <x:c r="L3" s="65" t="str">
        <x:v>[-1.23, 5.35]</x:v>
      </x:c>
    </x:row>
    <x:row r="4" ht="24" customHeight="1">
      <x:c r="A4" s="65" t="str">
        <x:v>lt30</x:v>
      </x:c>
      <x:c r="B4" s="65" t="str">
        <x:v>LightGBM</x:v>
      </x:c>
      <x:c r="C4" s="65" t="str">
        <x:v>server formal, L2-normalised</x:v>
      </x:c>
      <x:c r="D4" s="66" t="n">
        <x:v>0.42386831275720166</x:v>
      </x:c>
      <x:c r="E4" s="66" t="n">
        <x:v>0.25925925925925924</x:v>
      </x:c>
      <x:c r="F4" s="66" t="n">
        <x:v>0.21810699588477367</x:v>
      </x:c>
      <x:c r="G4" s="66" t="n">
        <x:v>0.16049382716049382</x:v>
      </x:c>
      <x:c r="H4" s="66" t="n">
        <x:v>0.157286432160804</x:v>
      </x:c>
      <x:c r="I4" s="66" t="n">
        <x:v>0.1597915377653546</x:v>
      </x:c>
      <x:c r="J4" s="67" t="n">
        <x:f>($G$2-G4)*100</x:f>
        <x:v>57.20164609053497</x:v>
      </x:c>
      <x:c r="K4" s="68"/>
      <x:c r="L4" s="65" t="str">
        <x:v>Not tested</x:v>
      </x:c>
    </x:row>
    <x:row r="5" ht="24" customHeight="1">
      <x:c r="A5" s="69" t="str">
        <x:v>30_50</x:v>
      </x:c>
      <x:c r="B5" s="69" t="str">
        <x:v>GaCA</x:v>
      </x:c>
      <x:c r="C5" s="69" t="str">
        <x:v>tune_12303_validate_1368_refit_13671</x:v>
      </x:c>
      <x:c r="D5" s="70" t="n">
        <x:v>0.9622641509433962</x:v>
      </x:c>
      <x:c r="E5" s="70" t="n">
        <x:v>0.9287211740041929</x:v>
      </x:c>
      <x:c r="F5" s="70" t="n">
        <x:v>0.89937106918239</x:v>
      </x:c>
      <x:c r="G5" s="70" t="n">
        <x:v>0.8490566037735849</x:v>
      </x:c>
      <x:c r="H5" s="70" t="n">
        <x:v>0.8334046193327631</x:v>
      </x:c>
      <x:c r="I5" s="70" t="n">
        <x:v>0.8489297507775689</x:v>
      </x:c>
      <x:c r="J5" s="71" t="n">
        <x:f>0</x:f>
        <x:v>0</x:v>
      </x:c>
      <x:c r="K5" s="72"/>
      <x:c r="L5" s="69" t="str">
        <x:v>Reference</x:v>
      </x:c>
    </x:row>
    <x:row r="6" ht="24" customHeight="1">
      <x:c r="A6" s="69" t="str">
        <x:v>30_50</x:v>
      </x:c>
      <x:c r="B6" s="69" t="str">
        <x:v>Cross-attention (512d, 4 heads)</x:v>
      </x:c>
      <x:c r="C6" s="69" t="str">
        <x:v>server formal</x:v>
      </x:c>
      <x:c r="D6" s="70" t="n">
        <x:v>0.960167714884696</x:v>
      </x:c>
      <x:c r="E6" s="70" t="n">
        <x:v>0.9203354297693921</x:v>
      </x:c>
      <x:c r="F6" s="70" t="n">
        <x:v>0.8930817610062893</x:v>
      </x:c>
      <x:c r="G6" s="70" t="n">
        <x:v>0.8343815513626834</x:v>
      </x:c>
      <x:c r="H6" s="70" t="n">
        <x:v>0.8127174222982605</x:v>
      </x:c>
      <x:c r="I6" s="70" t="n">
        <x:v>0.8342193149350596</x:v>
      </x:c>
      <x:c r="J6" s="71" t="n">
        <x:f>($G$5-G6)*100</x:f>
        <x:v>1.4675052410901501</x:v>
      </x:c>
      <x:c r="K6" s="72" t="n">
        <x:v>0.2295229434967041</x:v>
      </x:c>
      <x:c r="L6" s="69" t="str">
        <x:v>[-0.42, 3.56]</x:v>
      </x:c>
    </x:row>
    <x:row r="7" ht="24" customHeight="1">
      <x:c r="A7" s="73" t="str">
        <x:v>30_50</x:v>
      </x:c>
      <x:c r="B7" s="73" t="str">
        <x:v>LightGBM</x:v>
      </x:c>
      <x:c r="C7" s="73" t="str">
        <x:v>server formal, L2-normalised</x:v>
      </x:c>
      <x:c r="D7" s="74" t="n">
        <x:v>0.6561844863731656</x:v>
      </x:c>
      <x:c r="E7" s="74" t="n">
        <x:v>0.5262054507337526</x:v>
      </x:c>
      <x:c r="F7" s="74" t="n">
        <x:v>0.49266247379454925</x:v>
      </x:c>
      <x:c r="G7" s="74" t="n">
        <x:v>0.44863731656184486</x:v>
      </x:c>
      <x:c r="H7" s="74" t="n">
        <x:v>0.4194040490447676</x:v>
      </x:c>
      <x:c r="I7" s="74" t="n">
        <x:v>0.4481730315412376</x:v>
      </x:c>
      <x:c r="J7" s="75" t="n">
        <x:f>($G$5-G7)*100</x:f>
        <x:v>40.04192872117401</x:v>
      </x:c>
      <x:c r="K7" s="76"/>
      <x:c r="L7" s="73" t="str">
        <x:v>Not tested</x:v>
      </x:c>
    </x:row>
  </x:sheetData>
  <x:pageMargins left="0.7" right="0.7" top="0.75" bottom="0.75" header="0.3" footer="0.3"/>
  <x:tableParts count="1">
    <x:tablePart xmlns:r="http://schemas.openxmlformats.org/officeDocument/2006/relationships" r:id="Rc79affae0bfc44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92" hidden="0" customWidth="1"/>
  </x:cols>
  <x:sheetData>
    <x:row r="1" ht="25" customHeight="1">
      <x:c r="A1" s="90" t="str">
        <x:v>Check</x:v>
      </x:c>
      <x:c r="B1" s="90" t="str">
        <x:v>Result</x:v>
      </x:c>
    </x:row>
    <x:row r="2" ht="25" customHeight="1">
      <x:c r="A2" s="91" t="str">
        <x:v>Fixed fit/validation split</x:v>
      </x:c>
      <x:c r="B2" s="96" t="str">
        <x:v>Semantically identical</x:v>
      </x:c>
    </x:row>
    <x:row r="3" ht="25" customHeight="1">
      <x:c r="A3" s="91" t="str">
        <x:v>Cross-attention label mapping</x:v>
      </x:c>
      <x:c r="B3" s="96" t="str">
        <x:v>Semantically identical</x:v>
      </x:c>
    </x:row>
    <x:row r="4" ht="25" customHeight="1">
      <x:c r="A4" s="91" t="str">
        <x:v>LightGBM label mapping</x:v>
      </x:c>
      <x:c r="B4" s="96" t="str">
        <x:v>Semantically identical</x:v>
      </x:c>
    </x:row>
    <x:row r="5" ht="25" customHeight="1">
      <x:c r="A5" s="91" t="str">
        <x:v>lt30 test IDs and true labels</x:v>
      </x:c>
      <x:c r="B5" s="96" t="str">
        <x:v>243/243 aligned</x:v>
      </x:c>
    </x:row>
    <x:row r="6" ht="25" customHeight="1">
      <x:c r="A6" s="91" t="str">
        <x:v>30_50 test IDs and true labels</x:v>
      </x:c>
      <x:c r="B6" s="96" t="str">
        <x:v>477/477 aligned</x:v>
      </x:c>
    </x:row>
    <x:row r="7" ht="25" customHeight="1">
      <x:c r="A7" s="91" t="str">
        <x:v>Cross-attention configuration</x:v>
      </x:c>
      <x:c r="B7" s="96" t="str">
        <x:v>512 dimensions; 4 heads; best epoch 45</x:v>
      </x:c>
    </x:row>
    <x:row r="8" ht="25" customHeight="1">
      <x:c r="A8" s="91" t="str">
        <x:v>LightGBM configuration</x:v>
      </x:c>
      <x:c r="B8" s="96" t="str">
        <x:v>Best iteration 349; final refit on 13,671 proteins</x:v>
      </x:c>
    </x:row>
    <x:row r="9" ht="25" customHeight="1">
      <x:c r="A9" s="92" t="str">
        <x:v>Interpretation</x:v>
      </x:c>
      <x:c r="B9" s="97" t="str">
        <x:v>Cross-attention point estimates are below GaCA, but paired L4 differences are not statistically significant.</x:v>
      </x:c>
    </x:row>
  </x:sheetData>
  <x:pageMargins left="0.7" right="0.7" top="0.75" bottom="0.75" header="0.3" footer="0.3"/>
</x:worksheet>
</file>